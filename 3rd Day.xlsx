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5A64CF3A-6A91-45FA-9C9A-4C31F8FF4E26}" xr6:coauthVersionLast="47" xr6:coauthVersionMax="47" xr10:uidLastSave="{00000000-0000-0000-0000-000000000000}"/>
  <bookViews>
    <workbookView xWindow="-120" yWindow="-120" windowWidth="20730" windowHeight="11040" activeTab="1" xr2:uid="{643EACB1-9207-4727-B0BD-DDAB30FE1766}"/>
  </bookViews>
  <sheets>
    <sheet name="Basic Functions" sheetId="1" r:id="rId1"/>
    <sheet name="Logic Functio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3" l="1" a="1"/>
  <c r="O3" i="3" s="1"/>
  <c r="O4" i="3" a="1"/>
  <c r="O4" i="3" s="1"/>
  <c r="O5" i="3" a="1"/>
  <c r="O5" i="3" s="1"/>
  <c r="O6" i="3" a="1"/>
  <c r="O6" i="3"/>
  <c r="O7" i="3" a="1"/>
  <c r="O7" i="3" s="1"/>
  <c r="O8" i="3" a="1"/>
  <c r="O8" i="3" s="1"/>
  <c r="O9" i="3" a="1"/>
  <c r="O9" i="3"/>
  <c r="O10" i="3" a="1"/>
  <c r="O10" i="3"/>
  <c r="O11" i="3" a="1"/>
  <c r="O11" i="3" s="1"/>
  <c r="O12" i="3" a="1"/>
  <c r="O12" i="3" s="1"/>
  <c r="O13" i="3" a="1"/>
  <c r="O13" i="3"/>
  <c r="O14" i="3" a="1"/>
  <c r="O14" i="3" s="1"/>
  <c r="O15" i="3" a="1"/>
  <c r="O15" i="3" s="1"/>
  <c r="O16" i="3" a="1"/>
  <c r="O16" i="3" s="1"/>
  <c r="O2" i="3" a="1"/>
  <c r="O2" i="3" s="1"/>
  <c r="N3" i="3" a="1"/>
  <c r="N3" i="3" s="1"/>
  <c r="N4" i="3" a="1"/>
  <c r="N4" i="3"/>
  <c r="N5" i="3" a="1"/>
  <c r="N5" i="3"/>
  <c r="N6" i="3" a="1"/>
  <c r="N6" i="3"/>
  <c r="N7" i="3" a="1"/>
  <c r="N7" i="3" s="1"/>
  <c r="N8" i="3" a="1"/>
  <c r="N8" i="3"/>
  <c r="N9" i="3" a="1"/>
  <c r="N9" i="3"/>
  <c r="N10" i="3" a="1"/>
  <c r="N10" i="3"/>
  <c r="N11" i="3" a="1"/>
  <c r="N11" i="3" s="1"/>
  <c r="N12" i="3" a="1"/>
  <c r="N12" i="3"/>
  <c r="N13" i="3" a="1"/>
  <c r="N13" i="3"/>
  <c r="N14" i="3" a="1"/>
  <c r="N14" i="3"/>
  <c r="N15" i="3" a="1"/>
  <c r="N15" i="3" s="1"/>
  <c r="N16" i="3" a="1"/>
  <c r="N16" i="3"/>
  <c r="N2" i="3" a="1"/>
  <c r="N2" i="3" s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Y2" i="1"/>
  <c r="X2" i="1"/>
  <c r="W2" i="1"/>
  <c r="V2" i="1"/>
  <c r="U2" i="1"/>
  <c r="T2" i="1"/>
  <c r="S2" i="1"/>
  <c r="R2" i="1"/>
  <c r="Q2" i="1"/>
  <c r="O2" i="1"/>
  <c r="P2" i="1"/>
  <c r="N2" i="1"/>
  <c r="M2" i="1"/>
  <c r="K2" i="1"/>
  <c r="J2" i="1"/>
  <c r="L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<sst xmlns="http://schemas.openxmlformats.org/spreadsheetml/2006/main" count="157" uniqueCount="60">
  <si>
    <t>Emp_ID</t>
  </si>
  <si>
    <t>Name</t>
  </si>
  <si>
    <t>Department</t>
  </si>
  <si>
    <t>Salary</t>
  </si>
  <si>
    <t>Bonus</t>
  </si>
  <si>
    <t>City</t>
  </si>
  <si>
    <t>Joining_Date</t>
  </si>
  <si>
    <t>Status</t>
  </si>
  <si>
    <t>Rahul Sharma</t>
  </si>
  <si>
    <t>Sales</t>
  </si>
  <si>
    <t>Delhi</t>
  </si>
  <si>
    <t>Active</t>
  </si>
  <si>
    <t>Priya Singh</t>
  </si>
  <si>
    <t>HR</t>
  </si>
  <si>
    <t>Mumbai</t>
  </si>
  <si>
    <t>Aman Verma</t>
  </si>
  <si>
    <t>IT</t>
  </si>
  <si>
    <t>Pune</t>
  </si>
  <si>
    <t>Neha Gupta</t>
  </si>
  <si>
    <t>Finance</t>
  </si>
  <si>
    <t>Inactive</t>
  </si>
  <si>
    <t>Vikas Kumar</t>
  </si>
  <si>
    <t>Kolkata</t>
  </si>
  <si>
    <t>Anjali Roy</t>
  </si>
  <si>
    <t>Chennai</t>
  </si>
  <si>
    <t>Rohit Das</t>
  </si>
  <si>
    <t>Bengaluru</t>
  </si>
  <si>
    <t>Simran Kaur</t>
  </si>
  <si>
    <t>Karan Mehta</t>
  </si>
  <si>
    <t>Pooja Jain</t>
  </si>
  <si>
    <t>Arjun Patel</t>
  </si>
  <si>
    <t>Ahmedabad</t>
  </si>
  <si>
    <t>Sneha Bose</t>
  </si>
  <si>
    <t>Mohit Yadav</t>
  </si>
  <si>
    <t>Riya Kapoor</t>
  </si>
  <si>
    <t>Deepak Mishra</t>
  </si>
  <si>
    <t>Lucknow</t>
  </si>
  <si>
    <t>Total Salary of Eployee</t>
  </si>
  <si>
    <t>Total Bonus Paid</t>
  </si>
  <si>
    <t>Total Sal. + Bonus combined</t>
  </si>
  <si>
    <t>AVG Salary</t>
  </si>
  <si>
    <t>AVG Bonus</t>
  </si>
  <si>
    <t>Avg Salary of First 5</t>
  </si>
  <si>
    <t>Highest Salary</t>
  </si>
  <si>
    <t>Highest Bonus</t>
  </si>
  <si>
    <t>Lowest Salary</t>
  </si>
  <si>
    <t>Lowest Bonus</t>
  </si>
  <si>
    <t>No. of  Salary Rec.</t>
  </si>
  <si>
    <t>No of Bonus Values</t>
  </si>
  <si>
    <t>No. Of  Employee</t>
  </si>
  <si>
    <t>No. of City</t>
  </si>
  <si>
    <t>Blank cell in city column</t>
  </si>
  <si>
    <t>Blank Cell in bonus column</t>
  </si>
  <si>
    <t>Basic Functions</t>
  </si>
  <si>
    <r>
      <t>Emp</t>
    </r>
    <r>
      <rPr>
        <sz val="11"/>
        <color theme="9" tint="0.39997558519241921"/>
        <rFont val="Cambria"/>
        <family val="1"/>
      </rPr>
      <t>_</t>
    </r>
    <r>
      <rPr>
        <sz val="11"/>
        <color theme="1"/>
        <rFont val="Cambria"/>
        <family val="1"/>
      </rPr>
      <t>ID</t>
    </r>
  </si>
  <si>
    <t>H &amp; L Salary</t>
  </si>
  <si>
    <t>Grade Salary</t>
  </si>
  <si>
    <t>Categorize Bonus</t>
  </si>
  <si>
    <t>Performance</t>
  </si>
  <si>
    <t>Employee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</si>
</sst>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20"/>
      <color rgb="FF7B1AE6"/>
      <name val="Aptos Narrow"/>
      <family val="2"/>
      <scheme val="minor"/>
    </font>
    <font>
      <b/>
      <sz val="11"/>
      <color rgb="FFFF6600"/>
      <name val="Cambria"/>
      <family val="1"/>
    </font>
    <font>
      <sz val="11"/>
      <color theme="9" tint="0.3999755851924192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15" fontId="1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20" formatCode="dd/mmm/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6600"/>
      <color rgb="FF7B1A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321695-60A0-4D5A-9211-4BB174E99530}" name="Table2" displayName="Table2" ref="A1:H16" headerRowDxfId="17" dataDxfId="16">
  <autoFilter ref="A1:H16" xr:uid="{0C321695-60A0-4D5A-9211-4BB174E99530}"/>
  <tableColumns count="8">
    <tableColumn id="1" xr3:uid="{3DD1BA7E-CEB5-4A37-AE67-C55607227AED}" name="Emp_ID" totalsRowLabel="Total" dataDxfId="15" totalsRowDxfId="14"/>
    <tableColumn id="2" xr3:uid="{C709C401-AAF7-41D6-B114-7EE0FF8DFAAA}" name="Name" dataDxfId="13" totalsRowDxfId="12"/>
    <tableColumn id="3" xr3:uid="{EEA0DD15-6165-4C7B-B647-D1A1DD3FE0B3}" name="Department" dataDxfId="11" totalsRowDxfId="10"/>
    <tableColumn id="4" xr3:uid="{FE1AC1EE-52BE-4FAD-A2C6-F5FA5392F465}" name="Salary" dataDxfId="9" totalsRowDxfId="8"/>
    <tableColumn id="5" xr3:uid="{286C9119-FB65-4372-9469-1D7EF0A9120B}" name="Bonus" dataDxfId="7" totalsRowDxfId="6"/>
    <tableColumn id="6" xr3:uid="{FC0E3946-C73F-4BA1-95EE-772E5CC76846}" name="City" dataDxfId="5" totalsRowDxfId="4"/>
    <tableColumn id="7" xr3:uid="{E0DB8C88-35C1-4F29-B906-12D36699DD6B}" name="Joining_Date" dataDxfId="3" totalsRowDxfId="2"/>
    <tableColumn id="8" xr3:uid="{CF982497-7DD0-4C7A-8D98-8D16CA3E3564}" name="Status" totalsRowFunction="count" dataDxfId="1" totalsRow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1256-C45E-497F-A504-EF23B9BBBF06}">
  <dimension ref="A1:Y19"/>
  <sheetViews>
    <sheetView zoomScale="91" workbookViewId="0">
      <selection activeCell="G20" sqref="G20"/>
    </sheetView>
  </sheetViews>
  <sheetFormatPr defaultRowHeight="15" x14ac:dyDescent="0.25"/>
  <cols>
    <col min="1" max="1" width="8.140625" bestFit="1" customWidth="1"/>
    <col min="2" max="2" width="14.42578125" bestFit="1" customWidth="1"/>
    <col min="3" max="3" width="11.7109375" bestFit="1" customWidth="1"/>
    <col min="4" max="4" width="6.7109375" bestFit="1" customWidth="1"/>
    <col min="5" max="5" width="6.5703125" bestFit="1" customWidth="1"/>
    <col min="6" max="6" width="13" customWidth="1"/>
    <col min="7" max="7" width="14" customWidth="1"/>
    <col min="8" max="8" width="8.28515625" customWidth="1"/>
    <col min="12" max="12" width="9.85546875" customWidth="1"/>
    <col min="22" max="22" width="10.5703125" customWidth="1"/>
  </cols>
  <sheetData>
    <row r="1" spans="1:25" ht="5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45</v>
      </c>
      <c r="S1" s="3" t="s">
        <v>46</v>
      </c>
      <c r="T1" s="3" t="s">
        <v>47</v>
      </c>
      <c r="U1" s="3" t="s">
        <v>48</v>
      </c>
      <c r="V1" s="3" t="s">
        <v>49</v>
      </c>
      <c r="W1" s="3" t="s">
        <v>50</v>
      </c>
      <c r="X1" s="3" t="s">
        <v>51</v>
      </c>
      <c r="Y1" s="3" t="s">
        <v>52</v>
      </c>
    </row>
    <row r="2" spans="1:25" x14ac:dyDescent="0.25">
      <c r="A2" s="1">
        <v>101</v>
      </c>
      <c r="B2" s="1" t="s">
        <v>8</v>
      </c>
      <c r="C2" s="1" t="s">
        <v>9</v>
      </c>
      <c r="D2" s="1">
        <v>45000</v>
      </c>
      <c r="E2" s="1">
        <v>5000</v>
      </c>
      <c r="F2" s="1" t="s">
        <v>10</v>
      </c>
      <c r="G2" s="2">
        <v>44576</v>
      </c>
      <c r="H2" s="1" t="s">
        <v>11</v>
      </c>
      <c r="J2">
        <f>SUM(D2:D16)</f>
        <v>853000</v>
      </c>
      <c r="K2">
        <f>SUM(E2:E16)</f>
        <v>69800</v>
      </c>
      <c r="L2">
        <f>SUM(J2:K2)</f>
        <v>922800</v>
      </c>
      <c r="M2">
        <f>AVERAGE(D2:D16)</f>
        <v>56866.666666666664</v>
      </c>
      <c r="N2">
        <f>AVERAGE(E2:E16)</f>
        <v>5816.666666666667</v>
      </c>
      <c r="O2">
        <f>AVERAGE(D2:D6)</f>
        <v>53400</v>
      </c>
      <c r="P2">
        <f>MAX(D2:D16)</f>
        <v>72000</v>
      </c>
      <c r="Q2">
        <f>MAX(E2:E16)</f>
        <v>8500</v>
      </c>
      <c r="R2">
        <f>MIN(D2:D16)</f>
        <v>45000</v>
      </c>
      <c r="S2">
        <f>MIN(E2:E16)</f>
        <v>4000</v>
      </c>
      <c r="T2">
        <f>COUNT(D2:D16)</f>
        <v>15</v>
      </c>
      <c r="U2">
        <f>COUNT(E2:E16)</f>
        <v>12</v>
      </c>
      <c r="V2">
        <f>COUNTA(B2:B16)</f>
        <v>15</v>
      </c>
      <c r="W2">
        <f>COUNTA(F2:F16)</f>
        <v>13</v>
      </c>
      <c r="X2">
        <f>COUNTBLANK(F2:F16)</f>
        <v>2</v>
      </c>
      <c r="Y2">
        <f>COUNTBLANK(E2:E16)</f>
        <v>3</v>
      </c>
    </row>
    <row r="3" spans="1:25" x14ac:dyDescent="0.25">
      <c r="A3" s="1">
        <v>102</v>
      </c>
      <c r="B3" s="1" t="s">
        <v>12</v>
      </c>
      <c r="C3" s="1" t="s">
        <v>13</v>
      </c>
      <c r="D3" s="1">
        <v>52000</v>
      </c>
      <c r="E3" s="1">
        <v>4000</v>
      </c>
      <c r="F3" s="1" t="s">
        <v>14</v>
      </c>
      <c r="G3" s="2">
        <v>44247</v>
      </c>
      <c r="H3" s="1" t="s">
        <v>11</v>
      </c>
    </row>
    <row r="4" spans="1:25" x14ac:dyDescent="0.25">
      <c r="A4" s="1">
        <v>103</v>
      </c>
      <c r="B4" s="1" t="s">
        <v>15</v>
      </c>
      <c r="C4" s="1" t="s">
        <v>16</v>
      </c>
      <c r="D4" s="1">
        <v>65000</v>
      </c>
      <c r="E4" s="1">
        <v>7000</v>
      </c>
      <c r="F4" s="1" t="s">
        <v>17</v>
      </c>
      <c r="G4" s="2">
        <v>43900</v>
      </c>
      <c r="H4" s="1" t="s">
        <v>11</v>
      </c>
    </row>
    <row r="5" spans="1:25" x14ac:dyDescent="0.25">
      <c r="A5" s="1">
        <v>104</v>
      </c>
      <c r="B5" s="1" t="s">
        <v>18</v>
      </c>
      <c r="C5" s="1" t="s">
        <v>19</v>
      </c>
      <c r="D5" s="1">
        <v>58000</v>
      </c>
      <c r="E5" s="1">
        <v>6000</v>
      </c>
      <c r="F5" s="1" t="s">
        <v>10</v>
      </c>
      <c r="G5" s="2">
        <v>44676</v>
      </c>
      <c r="H5" s="1" t="s">
        <v>20</v>
      </c>
    </row>
    <row r="6" spans="1:25" x14ac:dyDescent="0.25">
      <c r="A6" s="1">
        <v>105</v>
      </c>
      <c r="B6" s="1" t="s">
        <v>21</v>
      </c>
      <c r="C6" s="1" t="s">
        <v>9</v>
      </c>
      <c r="D6" s="1">
        <v>47000</v>
      </c>
      <c r="E6" s="1"/>
      <c r="F6" s="1"/>
      <c r="G6" s="2">
        <v>45051</v>
      </c>
      <c r="H6" s="1" t="s">
        <v>11</v>
      </c>
    </row>
    <row r="7" spans="1:25" ht="26.25" x14ac:dyDescent="0.4">
      <c r="A7" s="1">
        <v>106</v>
      </c>
      <c r="B7" s="1" t="s">
        <v>23</v>
      </c>
      <c r="C7" s="1" t="s">
        <v>13</v>
      </c>
      <c r="D7" s="1">
        <v>54000</v>
      </c>
      <c r="E7" s="1">
        <v>5000</v>
      </c>
      <c r="F7" s="1" t="s">
        <v>24</v>
      </c>
      <c r="G7" s="2">
        <v>44365</v>
      </c>
      <c r="H7" s="1" t="s">
        <v>11</v>
      </c>
      <c r="M7" s="4" t="s">
        <v>53</v>
      </c>
    </row>
    <row r="8" spans="1:25" x14ac:dyDescent="0.25">
      <c r="A8" s="1">
        <v>107</v>
      </c>
      <c r="B8" s="1" t="s">
        <v>25</v>
      </c>
      <c r="C8" s="1" t="s">
        <v>16</v>
      </c>
      <c r="D8" s="1">
        <v>72000</v>
      </c>
      <c r="E8" s="1">
        <v>8000</v>
      </c>
      <c r="F8" s="1" t="s">
        <v>26</v>
      </c>
      <c r="G8" s="2">
        <v>43657</v>
      </c>
      <c r="H8" s="1" t="s">
        <v>11</v>
      </c>
    </row>
    <row r="9" spans="1:25" x14ac:dyDescent="0.25">
      <c r="A9" s="1">
        <v>108</v>
      </c>
      <c r="B9" s="1" t="s">
        <v>27</v>
      </c>
      <c r="C9" s="1" t="s">
        <v>19</v>
      </c>
      <c r="D9" s="1">
        <v>60000</v>
      </c>
      <c r="E9" s="1">
        <v>6500</v>
      </c>
      <c r="F9" s="1" t="s">
        <v>14</v>
      </c>
      <c r="G9" s="2">
        <v>44065</v>
      </c>
      <c r="H9" s="1" t="s">
        <v>20</v>
      </c>
    </row>
    <row r="10" spans="1:25" x14ac:dyDescent="0.25">
      <c r="A10" s="1">
        <v>109</v>
      </c>
      <c r="B10" s="1" t="s">
        <v>28</v>
      </c>
      <c r="C10" s="1" t="s">
        <v>9</v>
      </c>
      <c r="D10" s="1">
        <v>49000</v>
      </c>
      <c r="E10" s="1">
        <v>5500</v>
      </c>
      <c r="F10" s="1" t="s">
        <v>10</v>
      </c>
      <c r="G10" s="2">
        <v>44817</v>
      </c>
      <c r="H10" s="1" t="s">
        <v>11</v>
      </c>
    </row>
    <row r="11" spans="1:25" x14ac:dyDescent="0.25">
      <c r="A11" s="1">
        <v>110</v>
      </c>
      <c r="B11" s="1" t="s">
        <v>29</v>
      </c>
      <c r="C11" s="1" t="s">
        <v>16</v>
      </c>
      <c r="D11" s="1">
        <v>68000</v>
      </c>
      <c r="E11" s="1"/>
      <c r="F11" s="1"/>
      <c r="G11" s="2">
        <v>44476</v>
      </c>
      <c r="H11" s="1" t="s">
        <v>11</v>
      </c>
    </row>
    <row r="12" spans="1:25" ht="28.5" x14ac:dyDescent="0.25">
      <c r="A12" s="1">
        <v>111</v>
      </c>
      <c r="B12" s="1" t="s">
        <v>30</v>
      </c>
      <c r="C12" s="1" t="s">
        <v>13</v>
      </c>
      <c r="D12" s="1">
        <v>51000</v>
      </c>
      <c r="E12" s="1">
        <v>4500</v>
      </c>
      <c r="F12" s="1" t="s">
        <v>31</v>
      </c>
      <c r="G12" s="2">
        <v>44165</v>
      </c>
      <c r="H12" s="1" t="s">
        <v>11</v>
      </c>
    </row>
    <row r="13" spans="1:25" x14ac:dyDescent="0.25">
      <c r="A13" s="1">
        <v>112</v>
      </c>
      <c r="B13" s="1" t="s">
        <v>32</v>
      </c>
      <c r="C13" s="1" t="s">
        <v>19</v>
      </c>
      <c r="D13" s="1">
        <v>62000</v>
      </c>
      <c r="E13" s="1"/>
      <c r="F13" s="1" t="s">
        <v>22</v>
      </c>
      <c r="G13" s="2">
        <v>43811</v>
      </c>
      <c r="H13" s="1" t="s">
        <v>11</v>
      </c>
    </row>
    <row r="14" spans="1:25" x14ac:dyDescent="0.25">
      <c r="A14" s="1">
        <v>113</v>
      </c>
      <c r="B14" s="1" t="s">
        <v>33</v>
      </c>
      <c r="C14" s="1" t="s">
        <v>9</v>
      </c>
      <c r="D14" s="1">
        <v>46000</v>
      </c>
      <c r="E14" s="1">
        <v>5000</v>
      </c>
      <c r="F14" s="1" t="s">
        <v>10</v>
      </c>
      <c r="G14" s="2">
        <v>44943</v>
      </c>
      <c r="H14" s="1" t="s">
        <v>11</v>
      </c>
    </row>
    <row r="15" spans="1:25" x14ac:dyDescent="0.25">
      <c r="A15" s="1">
        <v>114</v>
      </c>
      <c r="B15" s="1" t="s">
        <v>34</v>
      </c>
      <c r="C15" s="1" t="s">
        <v>16</v>
      </c>
      <c r="D15" s="1">
        <v>71000</v>
      </c>
      <c r="E15" s="1">
        <v>8500</v>
      </c>
      <c r="F15" s="1" t="s">
        <v>26</v>
      </c>
      <c r="G15" s="2">
        <v>44613</v>
      </c>
      <c r="H15" s="1" t="s">
        <v>11</v>
      </c>
    </row>
    <row r="16" spans="1:25" x14ac:dyDescent="0.25">
      <c r="A16" s="1">
        <v>115</v>
      </c>
      <c r="B16" s="1" t="s">
        <v>35</v>
      </c>
      <c r="C16" s="1" t="s">
        <v>13</v>
      </c>
      <c r="D16" s="1">
        <v>53000</v>
      </c>
      <c r="E16" s="1">
        <v>4800</v>
      </c>
      <c r="F16" s="1" t="s">
        <v>36</v>
      </c>
      <c r="G16" s="2">
        <v>44284</v>
      </c>
      <c r="H16" s="1" t="s">
        <v>20</v>
      </c>
    </row>
    <row r="19" spans="2:2" x14ac:dyDescent="0.25">
      <c r="B1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7930-9C26-46ED-84EB-245FEF428B02}">
  <dimension ref="A1:O16"/>
  <sheetViews>
    <sheetView tabSelected="1" topLeftCell="B1" zoomScale="95" zoomScaleNormal="95" workbookViewId="0">
      <selection activeCell="F1" sqref="F1"/>
    </sheetView>
  </sheetViews>
  <sheetFormatPr defaultRowHeight="15" x14ac:dyDescent="0.25"/>
  <cols>
    <col min="1" max="1" width="10.28515625" customWidth="1"/>
    <col min="2" max="2" width="21.5703125" customWidth="1"/>
    <col min="3" max="3" width="15" customWidth="1"/>
    <col min="5" max="5" width="10.5703125" customWidth="1"/>
    <col min="6" max="6" width="15.42578125" customWidth="1"/>
    <col min="7" max="7" width="14.42578125" customWidth="1"/>
    <col min="8" max="8" width="10.5703125" customWidth="1"/>
    <col min="10" max="10" width="13.5703125" customWidth="1"/>
    <col min="11" max="11" width="13.42578125" customWidth="1"/>
    <col min="13" max="13" width="13.85546875" customWidth="1"/>
    <col min="14" max="14" width="16.7109375" customWidth="1"/>
    <col min="15" max="15" width="10.42578125" customWidth="1"/>
  </cols>
  <sheetData>
    <row r="1" spans="1:15" ht="28.5" x14ac:dyDescent="0.25">
      <c r="A1" s="1" t="s">
        <v>54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55</v>
      </c>
      <c r="K1" s="1" t="s">
        <v>4</v>
      </c>
      <c r="L1" s="1" t="s">
        <v>56</v>
      </c>
      <c r="M1" s="1" t="s">
        <v>57</v>
      </c>
      <c r="N1" s="1" t="s">
        <v>58</v>
      </c>
      <c r="O1" s="1" t="s">
        <v>59</v>
      </c>
    </row>
    <row r="2" spans="1:15" ht="28.5" x14ac:dyDescent="0.25">
      <c r="A2" s="1">
        <v>101</v>
      </c>
      <c r="B2" s="1" t="s">
        <v>8</v>
      </c>
      <c r="C2" s="1" t="s">
        <v>9</v>
      </c>
      <c r="D2" s="1">
        <v>45000</v>
      </c>
      <c r="E2" s="1">
        <v>5000</v>
      </c>
      <c r="F2" s="1" t="s">
        <v>10</v>
      </c>
      <c r="G2" s="2">
        <v>44576</v>
      </c>
      <c r="H2" s="1" t="s">
        <v>11</v>
      </c>
      <c r="J2" t="str">
        <f>IF(D2&gt;60000,"High Salary","Normal Salary")</f>
        <v>Normal Salary</v>
      </c>
      <c r="K2" t="str">
        <f>IF(E2&gt;6000,"Good Bonus","Regular Bonus")</f>
        <v>Regular Bonus</v>
      </c>
      <c r="L2" t="str">
        <f>IF(D2&gt;=70000,"  A",IF(D2&gt;=60000,"  B","  C"))</f>
        <v xml:space="preserve">  C</v>
      </c>
      <c r="M2" t="str">
        <f>IF(E2&gt;=7000,"Excellent",IF(E2&gt;=6000,"Good","Average"))</f>
        <v>Average</v>
      </c>
      <c r="N2" t="str" cm="1">
        <f t="array" ref="N2">_xlfn.IFS(Table2[[#This Row],[Salary]]&gt;=70000,"Best",Table2[[#This Row],[Salary]]&gt;=60000,"Good",Table2[[#This Row],[Salary]]&lt;60000,"Normal")</f>
        <v>Normal</v>
      </c>
      <c r="O2" t="str" cm="1">
        <f t="array" ref="O2">_xlfn.IFS(Table2[[#This Row],[Bonus]]&gt;=7000,"HIGH",Table2[[#This Row],[Bonus]]&gt;=6000,"MID",Table2[[#This Row],[Bonus]]&lt;6000,"LOW")</f>
        <v>LOW</v>
      </c>
    </row>
    <row r="3" spans="1:15" ht="28.5" x14ac:dyDescent="0.25">
      <c r="A3" s="1">
        <v>102</v>
      </c>
      <c r="B3" s="1" t="s">
        <v>12</v>
      </c>
      <c r="C3" s="1" t="s">
        <v>13</v>
      </c>
      <c r="D3" s="1">
        <v>52000</v>
      </c>
      <c r="E3" s="1">
        <v>4000</v>
      </c>
      <c r="F3" s="1" t="s">
        <v>14</v>
      </c>
      <c r="G3" s="2">
        <v>44247</v>
      </c>
      <c r="H3" s="1" t="s">
        <v>11</v>
      </c>
      <c r="J3" t="str">
        <f t="shared" ref="J3:J16" si="0">IF(D3&gt;60000,"High Salary","Normal Salary")</f>
        <v>Normal Salary</v>
      </c>
      <c r="K3" t="str">
        <f t="shared" ref="K3:K16" si="1">IF(E3&gt;6000,"Good Bonus","Regular Bonus")</f>
        <v>Regular Bonus</v>
      </c>
      <c r="L3" t="str">
        <f t="shared" ref="L3:L16" si="2">IF(D3&gt;=70000,"  A",IF(D3&gt;=60000,"  B","  C"))</f>
        <v xml:space="preserve">  C</v>
      </c>
      <c r="M3" t="str">
        <f t="shared" ref="M3:M16" si="3">IF(E3&gt;=7000,"Excellent",IF(E3&gt;=6000,"Good","Average"))</f>
        <v>Average</v>
      </c>
      <c r="N3" t="str" cm="1">
        <f t="array" ref="N3">_xlfn.IFS(Table2[[#This Row],[Salary]]&gt;=70000,"Best",Table2[[#This Row],[Salary]]&gt;=60000,"Good",Table2[[#This Row],[Salary]]&lt;60000,"Normal")</f>
        <v>Normal</v>
      </c>
      <c r="O3" t="str" cm="1">
        <f t="array" ref="O3">_xlfn.IFS(Table2[[#This Row],[Bonus]]&gt;=7000,"HIGH",Table2[[#This Row],[Bonus]]&gt;=6000,"MID",Table2[[#This Row],[Bonus]]&lt;6000,"LOW")</f>
        <v>LOW</v>
      </c>
    </row>
    <row r="4" spans="1:15" ht="28.5" x14ac:dyDescent="0.25">
      <c r="A4" s="1">
        <v>103</v>
      </c>
      <c r="B4" s="1" t="s">
        <v>15</v>
      </c>
      <c r="C4" s="1" t="s">
        <v>16</v>
      </c>
      <c r="D4" s="1">
        <v>65000</v>
      </c>
      <c r="E4" s="1">
        <v>7000</v>
      </c>
      <c r="F4" s="1" t="s">
        <v>17</v>
      </c>
      <c r="G4" s="2">
        <v>43900</v>
      </c>
      <c r="H4" s="1" t="s">
        <v>11</v>
      </c>
      <c r="J4" t="str">
        <f t="shared" si="0"/>
        <v>High Salary</v>
      </c>
      <c r="K4" t="str">
        <f t="shared" si="1"/>
        <v>Good Bonus</v>
      </c>
      <c r="L4" t="str">
        <f t="shared" si="2"/>
        <v xml:space="preserve">  B</v>
      </c>
      <c r="M4" t="str">
        <f t="shared" si="3"/>
        <v>Excellent</v>
      </c>
      <c r="N4" t="str" cm="1">
        <f t="array" ref="N4">_xlfn.IFS(Table2[[#This Row],[Salary]]&gt;=70000,"Best",Table2[[#This Row],[Salary]]&gt;=60000,"Good",Table2[[#This Row],[Salary]]&lt;60000,"Normal")</f>
        <v>Good</v>
      </c>
      <c r="O4" t="str" cm="1">
        <f t="array" ref="O4">_xlfn.IFS(Table2[[#This Row],[Bonus]]&gt;=7000,"HIGH",Table2[[#This Row],[Bonus]]&gt;=6000,"MID",Table2[[#This Row],[Bonus]]&lt;6000,"LOW")</f>
        <v>HIGH</v>
      </c>
    </row>
    <row r="5" spans="1:15" ht="28.5" x14ac:dyDescent="0.25">
      <c r="A5" s="1">
        <v>104</v>
      </c>
      <c r="B5" s="1" t="s">
        <v>18</v>
      </c>
      <c r="C5" s="1" t="s">
        <v>19</v>
      </c>
      <c r="D5" s="1">
        <v>58000</v>
      </c>
      <c r="E5" s="1">
        <v>6000</v>
      </c>
      <c r="F5" s="1" t="s">
        <v>10</v>
      </c>
      <c r="G5" s="2">
        <v>44676</v>
      </c>
      <c r="H5" s="1" t="s">
        <v>20</v>
      </c>
      <c r="J5" t="str">
        <f t="shared" si="0"/>
        <v>Normal Salary</v>
      </c>
      <c r="K5" t="str">
        <f t="shared" si="1"/>
        <v>Regular Bonus</v>
      </c>
      <c r="L5" t="str">
        <f t="shared" si="2"/>
        <v xml:space="preserve">  C</v>
      </c>
      <c r="M5" t="str">
        <f t="shared" si="3"/>
        <v>Good</v>
      </c>
      <c r="N5" t="str" cm="1">
        <f t="array" ref="N5">_xlfn.IFS(Table2[[#This Row],[Salary]]&gt;=70000,"Best",Table2[[#This Row],[Salary]]&gt;=60000,"Good",Table2[[#This Row],[Salary]]&lt;60000,"Normal")</f>
        <v>Normal</v>
      </c>
      <c r="O5" t="str" cm="1">
        <f t="array" ref="O5">_xlfn.IFS(Table2[[#This Row],[Bonus]]&gt;=7000,"HIGH",Table2[[#This Row],[Bonus]]&gt;=6000,"MID",Table2[[#This Row],[Bonus]]&lt;6000,"LOW")</f>
        <v>MID</v>
      </c>
    </row>
    <row r="6" spans="1:15" ht="28.5" x14ac:dyDescent="0.25">
      <c r="A6" s="1">
        <v>105</v>
      </c>
      <c r="B6" s="1" t="s">
        <v>21</v>
      </c>
      <c r="C6" s="1" t="s">
        <v>9</v>
      </c>
      <c r="D6" s="1">
        <v>47000</v>
      </c>
      <c r="E6" s="1">
        <v>4500</v>
      </c>
      <c r="F6" s="1" t="s">
        <v>22</v>
      </c>
      <c r="G6" s="2">
        <v>45051</v>
      </c>
      <c r="H6" s="1" t="s">
        <v>11</v>
      </c>
      <c r="J6" t="str">
        <f t="shared" si="0"/>
        <v>Normal Salary</v>
      </c>
      <c r="K6" t="str">
        <f t="shared" si="1"/>
        <v>Regular Bonus</v>
      </c>
      <c r="L6" t="str">
        <f t="shared" si="2"/>
        <v xml:space="preserve">  C</v>
      </c>
      <c r="M6" t="str">
        <f t="shared" si="3"/>
        <v>Average</v>
      </c>
      <c r="N6" t="str" cm="1">
        <f t="array" ref="N6">_xlfn.IFS(Table2[[#This Row],[Salary]]&gt;=70000,"Best",Table2[[#This Row],[Salary]]&gt;=60000,"Good",Table2[[#This Row],[Salary]]&lt;60000,"Normal")</f>
        <v>Normal</v>
      </c>
      <c r="O6" t="str" cm="1">
        <f t="array" ref="O6">_xlfn.IFS(Table2[[#This Row],[Bonus]]&gt;=7000,"HIGH",Table2[[#This Row],[Bonus]]&gt;=6000,"MID",Table2[[#This Row],[Bonus]]&lt;6000,"LOW")</f>
        <v>LOW</v>
      </c>
    </row>
    <row r="7" spans="1:15" ht="28.5" x14ac:dyDescent="0.25">
      <c r="A7" s="1">
        <v>106</v>
      </c>
      <c r="B7" s="1" t="s">
        <v>23</v>
      </c>
      <c r="C7" s="1" t="s">
        <v>13</v>
      </c>
      <c r="D7" s="1">
        <v>54000</v>
      </c>
      <c r="E7" s="1">
        <v>5000</v>
      </c>
      <c r="F7" s="1" t="s">
        <v>24</v>
      </c>
      <c r="G7" s="2">
        <v>44365</v>
      </c>
      <c r="H7" s="1" t="s">
        <v>11</v>
      </c>
      <c r="J7" t="str">
        <f t="shared" si="0"/>
        <v>Normal Salary</v>
      </c>
      <c r="K7" t="str">
        <f t="shared" si="1"/>
        <v>Regular Bonus</v>
      </c>
      <c r="L7" t="str">
        <f t="shared" si="2"/>
        <v xml:space="preserve">  C</v>
      </c>
      <c r="M7" t="str">
        <f t="shared" si="3"/>
        <v>Average</v>
      </c>
      <c r="N7" t="str" cm="1">
        <f t="array" ref="N7">_xlfn.IFS(Table2[[#This Row],[Salary]]&gt;=70000,"Best",Table2[[#This Row],[Salary]]&gt;=60000,"Good",Table2[[#This Row],[Salary]]&lt;60000,"Normal")</f>
        <v>Normal</v>
      </c>
      <c r="O7" t="str" cm="1">
        <f t="array" ref="O7">_xlfn.IFS(Table2[[#This Row],[Bonus]]&gt;=7000,"HIGH",Table2[[#This Row],[Bonus]]&gt;=6000,"MID",Table2[[#This Row],[Bonus]]&lt;6000,"LOW")</f>
        <v>LOW</v>
      </c>
    </row>
    <row r="8" spans="1:15" ht="28.5" x14ac:dyDescent="0.25">
      <c r="A8" s="1">
        <v>107</v>
      </c>
      <c r="B8" s="1" t="s">
        <v>25</v>
      </c>
      <c r="C8" s="1" t="s">
        <v>16</v>
      </c>
      <c r="D8" s="1">
        <v>72000</v>
      </c>
      <c r="E8" s="1">
        <v>8000</v>
      </c>
      <c r="F8" s="1" t="s">
        <v>26</v>
      </c>
      <c r="G8" s="2">
        <v>43657</v>
      </c>
      <c r="H8" s="1" t="s">
        <v>11</v>
      </c>
      <c r="J8" t="str">
        <f t="shared" si="0"/>
        <v>High Salary</v>
      </c>
      <c r="K8" t="str">
        <f t="shared" si="1"/>
        <v>Good Bonus</v>
      </c>
      <c r="L8" t="str">
        <f t="shared" si="2"/>
        <v xml:space="preserve">  A</v>
      </c>
      <c r="M8" t="str">
        <f t="shared" si="3"/>
        <v>Excellent</v>
      </c>
      <c r="N8" t="str" cm="1">
        <f t="array" ref="N8">_xlfn.IFS(Table2[[#This Row],[Salary]]&gt;=70000,"Best",Table2[[#This Row],[Salary]]&gt;=60000,"Good",Table2[[#This Row],[Salary]]&lt;60000,"Normal")</f>
        <v>Best</v>
      </c>
      <c r="O8" t="str" cm="1">
        <f t="array" ref="O8">_xlfn.IFS(Table2[[#This Row],[Bonus]]&gt;=7000,"HIGH",Table2[[#This Row],[Bonus]]&gt;=6000,"MID",Table2[[#This Row],[Bonus]]&lt;6000,"LOW")</f>
        <v>HIGH</v>
      </c>
    </row>
    <row r="9" spans="1:15" ht="28.5" x14ac:dyDescent="0.25">
      <c r="A9" s="1">
        <v>108</v>
      </c>
      <c r="B9" s="1" t="s">
        <v>27</v>
      </c>
      <c r="C9" s="1" t="s">
        <v>19</v>
      </c>
      <c r="D9" s="1">
        <v>60000</v>
      </c>
      <c r="E9" s="1">
        <v>6500</v>
      </c>
      <c r="F9" s="1" t="s">
        <v>14</v>
      </c>
      <c r="G9" s="2">
        <v>44065</v>
      </c>
      <c r="H9" s="1" t="s">
        <v>20</v>
      </c>
      <c r="J9" t="str">
        <f t="shared" si="0"/>
        <v>Normal Salary</v>
      </c>
      <c r="K9" t="str">
        <f t="shared" si="1"/>
        <v>Good Bonus</v>
      </c>
      <c r="L9" t="str">
        <f t="shared" si="2"/>
        <v xml:space="preserve">  B</v>
      </c>
      <c r="M9" t="str">
        <f t="shared" si="3"/>
        <v>Good</v>
      </c>
      <c r="N9" t="str" cm="1">
        <f t="array" ref="N9">_xlfn.IFS(Table2[[#This Row],[Salary]]&gt;=70000,"Best",Table2[[#This Row],[Salary]]&gt;=60000,"Good",Table2[[#This Row],[Salary]]&lt;60000,"Normal")</f>
        <v>Good</v>
      </c>
      <c r="O9" t="str" cm="1">
        <f t="array" ref="O9">_xlfn.IFS(Table2[[#This Row],[Bonus]]&gt;=7000,"HIGH",Table2[[#This Row],[Bonus]]&gt;=6000,"MID",Table2[[#This Row],[Bonus]]&lt;6000,"LOW")</f>
        <v>MID</v>
      </c>
    </row>
    <row r="10" spans="1:15" ht="28.5" x14ac:dyDescent="0.25">
      <c r="A10" s="1">
        <v>109</v>
      </c>
      <c r="B10" s="1" t="s">
        <v>28</v>
      </c>
      <c r="C10" s="1" t="s">
        <v>9</v>
      </c>
      <c r="D10" s="1">
        <v>49000</v>
      </c>
      <c r="E10" s="1">
        <v>5500</v>
      </c>
      <c r="F10" s="1" t="s">
        <v>10</v>
      </c>
      <c r="G10" s="2">
        <v>44817</v>
      </c>
      <c r="H10" s="1" t="s">
        <v>11</v>
      </c>
      <c r="J10" t="str">
        <f t="shared" si="0"/>
        <v>Normal Salary</v>
      </c>
      <c r="K10" t="str">
        <f t="shared" si="1"/>
        <v>Regular Bonus</v>
      </c>
      <c r="L10" t="str">
        <f t="shared" si="2"/>
        <v xml:space="preserve">  C</v>
      </c>
      <c r="M10" t="str">
        <f t="shared" si="3"/>
        <v>Average</v>
      </c>
      <c r="N10" t="str" cm="1">
        <f t="array" ref="N10">_xlfn.IFS(Table2[[#This Row],[Salary]]&gt;=70000,"Best",Table2[[#This Row],[Salary]]&gt;=60000,"Good",Table2[[#This Row],[Salary]]&lt;60000,"Normal")</f>
        <v>Normal</v>
      </c>
      <c r="O10" t="str" cm="1">
        <f t="array" ref="O10">_xlfn.IFS(Table2[[#This Row],[Bonus]]&gt;=7000,"HIGH",Table2[[#This Row],[Bonus]]&gt;=6000,"MID",Table2[[#This Row],[Bonus]]&lt;6000,"LOW")</f>
        <v>LOW</v>
      </c>
    </row>
    <row r="11" spans="1:15" ht="28.5" x14ac:dyDescent="0.25">
      <c r="A11" s="1">
        <v>110</v>
      </c>
      <c r="B11" s="1" t="s">
        <v>29</v>
      </c>
      <c r="C11" s="1" t="s">
        <v>16</v>
      </c>
      <c r="D11" s="1">
        <v>68000</v>
      </c>
      <c r="E11" s="1">
        <v>7500</v>
      </c>
      <c r="F11" s="1" t="s">
        <v>17</v>
      </c>
      <c r="G11" s="2">
        <v>44476</v>
      </c>
      <c r="H11" s="1" t="s">
        <v>11</v>
      </c>
      <c r="J11" t="str">
        <f t="shared" si="0"/>
        <v>High Salary</v>
      </c>
      <c r="K11" t="str">
        <f t="shared" si="1"/>
        <v>Good Bonus</v>
      </c>
      <c r="L11" t="str">
        <f t="shared" si="2"/>
        <v xml:space="preserve">  B</v>
      </c>
      <c r="M11" t="str">
        <f t="shared" si="3"/>
        <v>Excellent</v>
      </c>
      <c r="N11" t="str" cm="1">
        <f t="array" ref="N11">_xlfn.IFS(Table2[[#This Row],[Salary]]&gt;=70000,"Best",Table2[[#This Row],[Salary]]&gt;=60000,"Good",Table2[[#This Row],[Salary]]&lt;60000,"Normal")</f>
        <v>Good</v>
      </c>
      <c r="O11" t="str" cm="1">
        <f t="array" ref="O11">_xlfn.IFS(Table2[[#This Row],[Bonus]]&gt;=7000,"HIGH",Table2[[#This Row],[Bonus]]&gt;=6000,"MID",Table2[[#This Row],[Bonus]]&lt;6000,"LOW")</f>
        <v>HIGH</v>
      </c>
    </row>
    <row r="12" spans="1:15" ht="28.5" x14ac:dyDescent="0.25">
      <c r="A12" s="1">
        <v>111</v>
      </c>
      <c r="B12" s="1" t="s">
        <v>30</v>
      </c>
      <c r="C12" s="1" t="s">
        <v>13</v>
      </c>
      <c r="D12" s="1">
        <v>51000</v>
      </c>
      <c r="E12" s="1">
        <v>4500</v>
      </c>
      <c r="F12" s="1" t="s">
        <v>31</v>
      </c>
      <c r="G12" s="2">
        <v>44165</v>
      </c>
      <c r="H12" s="1" t="s">
        <v>11</v>
      </c>
      <c r="J12" t="str">
        <f t="shared" si="0"/>
        <v>Normal Salary</v>
      </c>
      <c r="K12" t="str">
        <f t="shared" si="1"/>
        <v>Regular Bonus</v>
      </c>
      <c r="L12" t="str">
        <f t="shared" si="2"/>
        <v xml:space="preserve">  C</v>
      </c>
      <c r="M12" t="str">
        <f t="shared" si="3"/>
        <v>Average</v>
      </c>
      <c r="N12" t="str" cm="1">
        <f t="array" ref="N12">_xlfn.IFS(Table2[[#This Row],[Salary]]&gt;=70000,"Best",Table2[[#This Row],[Salary]]&gt;=60000,"Good",Table2[[#This Row],[Salary]]&lt;60000,"Normal")</f>
        <v>Normal</v>
      </c>
      <c r="O12" t="str" cm="1">
        <f t="array" ref="O12">_xlfn.IFS(Table2[[#This Row],[Bonus]]&gt;=7000,"HIGH",Table2[[#This Row],[Bonus]]&gt;=6000,"MID",Table2[[#This Row],[Bonus]]&lt;6000,"LOW")</f>
        <v>LOW</v>
      </c>
    </row>
    <row r="13" spans="1:15" x14ac:dyDescent="0.25">
      <c r="A13" s="1">
        <v>112</v>
      </c>
      <c r="B13" s="1" t="s">
        <v>32</v>
      </c>
      <c r="C13" s="1" t="s">
        <v>19</v>
      </c>
      <c r="D13" s="1">
        <v>62000</v>
      </c>
      <c r="E13" s="1">
        <v>7000</v>
      </c>
      <c r="F13" s="1" t="s">
        <v>22</v>
      </c>
      <c r="G13" s="2">
        <v>43811</v>
      </c>
      <c r="H13" s="1" t="s">
        <v>11</v>
      </c>
      <c r="J13" t="str">
        <f t="shared" si="0"/>
        <v>High Salary</v>
      </c>
      <c r="K13" t="str">
        <f t="shared" si="1"/>
        <v>Good Bonus</v>
      </c>
      <c r="L13" t="str">
        <f t="shared" si="2"/>
        <v xml:space="preserve">  B</v>
      </c>
      <c r="M13" t="str">
        <f t="shared" si="3"/>
        <v>Excellent</v>
      </c>
      <c r="N13" t="str" cm="1">
        <f t="array" ref="N13">_xlfn.IFS(Table2[[#This Row],[Salary]]&gt;=70000,"Best",Table2[[#This Row],[Salary]]&gt;=60000,"Good",Table2[[#This Row],[Salary]]&lt;60000,"Normal")</f>
        <v>Good</v>
      </c>
      <c r="O13" t="str" cm="1">
        <f t="array" ref="O13">_xlfn.IFS(Table2[[#This Row],[Bonus]]&gt;=7000,"HIGH",Table2[[#This Row],[Bonus]]&gt;=6000,"MID",Table2[[#This Row],[Bonus]]&lt;6000,"LOW")</f>
        <v>HIGH</v>
      </c>
    </row>
    <row r="14" spans="1:15" x14ac:dyDescent="0.25">
      <c r="A14" s="1">
        <v>113</v>
      </c>
      <c r="B14" s="1" t="s">
        <v>33</v>
      </c>
      <c r="C14" s="1" t="s">
        <v>9</v>
      </c>
      <c r="D14" s="1">
        <v>46000</v>
      </c>
      <c r="E14" s="1">
        <v>5000</v>
      </c>
      <c r="F14" s="1" t="s">
        <v>10</v>
      </c>
      <c r="G14" s="2">
        <v>44943</v>
      </c>
      <c r="H14" s="1" t="s">
        <v>11</v>
      </c>
      <c r="J14" t="str">
        <f t="shared" si="0"/>
        <v>Normal Salary</v>
      </c>
      <c r="K14" t="str">
        <f t="shared" si="1"/>
        <v>Regular Bonus</v>
      </c>
      <c r="L14" t="str">
        <f t="shared" si="2"/>
        <v xml:space="preserve">  C</v>
      </c>
      <c r="M14" t="str">
        <f t="shared" si="3"/>
        <v>Average</v>
      </c>
      <c r="N14" t="str" cm="1">
        <f t="array" ref="N14">_xlfn.IFS(Table2[[#This Row],[Salary]]&gt;=70000,"Best",Table2[[#This Row],[Salary]]&gt;=60000,"Good",Table2[[#This Row],[Salary]]&lt;60000,"Normal")</f>
        <v>Normal</v>
      </c>
      <c r="O14" t="str" cm="1">
        <f t="array" ref="O14">_xlfn.IFS(Table2[[#This Row],[Bonus]]&gt;=7000,"HIGH",Table2[[#This Row],[Bonus]]&gt;=6000,"MID",Table2[[#This Row],[Bonus]]&lt;6000,"LOW")</f>
        <v>LOW</v>
      </c>
    </row>
    <row r="15" spans="1:15" x14ac:dyDescent="0.25">
      <c r="A15" s="1">
        <v>114</v>
      </c>
      <c r="B15" s="1" t="s">
        <v>34</v>
      </c>
      <c r="C15" s="1" t="s">
        <v>16</v>
      </c>
      <c r="D15" s="1">
        <v>71000</v>
      </c>
      <c r="E15" s="1">
        <v>8500</v>
      </c>
      <c r="F15" s="1" t="s">
        <v>26</v>
      </c>
      <c r="G15" s="2">
        <v>44613</v>
      </c>
      <c r="H15" s="1" t="s">
        <v>11</v>
      </c>
      <c r="J15" t="str">
        <f t="shared" si="0"/>
        <v>High Salary</v>
      </c>
      <c r="K15" t="str">
        <f t="shared" si="1"/>
        <v>Good Bonus</v>
      </c>
      <c r="L15" t="str">
        <f t="shared" si="2"/>
        <v xml:space="preserve">  A</v>
      </c>
      <c r="M15" t="str">
        <f t="shared" si="3"/>
        <v>Excellent</v>
      </c>
      <c r="N15" t="str" cm="1">
        <f t="array" ref="N15">_xlfn.IFS(Table2[[#This Row],[Salary]]&gt;=70000,"Best",Table2[[#This Row],[Salary]]&gt;=60000,"Good",Table2[[#This Row],[Salary]]&lt;60000,"Normal")</f>
        <v>Best</v>
      </c>
      <c r="O15" t="str" cm="1">
        <f t="array" ref="O15">_xlfn.IFS(Table2[[#This Row],[Bonus]]&gt;=7000,"HIGH",Table2[[#This Row],[Bonus]]&gt;=6000,"MID",Table2[[#This Row],[Bonus]]&lt;6000,"LOW")</f>
        <v>HIGH</v>
      </c>
    </row>
    <row r="16" spans="1:15" x14ac:dyDescent="0.25">
      <c r="A16" s="1">
        <v>115</v>
      </c>
      <c r="B16" s="1" t="s">
        <v>35</v>
      </c>
      <c r="C16" s="1" t="s">
        <v>13</v>
      </c>
      <c r="D16" s="1">
        <v>53000</v>
      </c>
      <c r="E16" s="1">
        <v>4800</v>
      </c>
      <c r="F16" s="1" t="s">
        <v>36</v>
      </c>
      <c r="G16" s="2">
        <v>44284</v>
      </c>
      <c r="H16" s="1" t="s">
        <v>20</v>
      </c>
      <c r="J16" t="str">
        <f t="shared" si="0"/>
        <v>Normal Salary</v>
      </c>
      <c r="K16" t="str">
        <f t="shared" si="1"/>
        <v>Regular Bonus</v>
      </c>
      <c r="L16" t="str">
        <f t="shared" si="2"/>
        <v xml:space="preserve">  C</v>
      </c>
      <c r="M16" t="str">
        <f t="shared" si="3"/>
        <v>Average</v>
      </c>
      <c r="N16" t="str" cm="1">
        <f t="array" ref="N16">_xlfn.IFS(Table2[[#This Row],[Salary]]&gt;=70000,"Best",Table2[[#This Row],[Salary]]&gt;=60000,"Good",Table2[[#This Row],[Salary]]&lt;60000,"Normal")</f>
        <v>Normal</v>
      </c>
      <c r="O16" t="str" cm="1">
        <f t="array" ref="O16">_xlfn.IFS(Table2[[#This Row],[Bonus]]&gt;=7000,"HIGH",Table2[[#This Row],[Bonus]]&gt;=6000,"MID",Table2[[#This Row],[Bonus]]&lt;6000,"LOW")</f>
        <v>LOW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Functions</vt:lpstr>
      <vt:lpstr>Logic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Ujjawal Prasad</dc:creator>
  <cp:lastModifiedBy>Ujjawal Prasad</cp:lastModifiedBy>
  <dcterms:created xsi:type="dcterms:W3CDTF">2026-06-10T10:14:27Z</dcterms:created>
  <dcterms:modified xsi:type="dcterms:W3CDTF">2026-06-12T05:55:56Z</dcterms:modified>
</cp:coreProperties>
</file>